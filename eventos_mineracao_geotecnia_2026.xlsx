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GERDAUImplantaodePMO/Shared Documents/Reports GERDAU/PMO de Performance/Report_GitHub/"/>
    </mc:Choice>
  </mc:AlternateContent>
  <xr:revisionPtr revIDLastSave="20" documentId="8_{AFBFD803-061B-4256-A828-CFB558E1B3A8}" xr6:coauthVersionLast="47" xr6:coauthVersionMax="47" xr10:uidLastSave="{983E2B39-7432-4E91-9061-CD5074D3A563}"/>
  <bookViews>
    <workbookView xWindow="-23148" yWindow="1272" windowWidth="23256" windowHeight="12456" xr2:uid="{00000000-000D-0000-FFFF-FFFF00000000}"/>
  </bookViews>
  <sheets>
    <sheet name="Eventos 2026" sheetId="1" r:id="rId1"/>
  </sheets>
  <definedNames>
    <definedName name="_xlnm._FilterDatabase" localSheetId="0" hidden="1">'Eventos 2026'!$B$4:$H$16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<sst xmlns="http://schemas.openxmlformats.org/spreadsheetml/2006/main" count="123" uniqueCount="112">
  <si>
    <t>CALENDÁRIO DE EVENTOS DE MINERAÇÃO E GEOTECNIA - BRASIL 2026</t>
  </si>
  <si>
    <t>Gerência Geral de Geotecnia e Hidrogeologia - Planejamento de Participação</t>
  </si>
  <si>
    <t>Data</t>
  </si>
  <si>
    <t>Evento</t>
  </si>
  <si>
    <t>Organizador</t>
  </si>
  <si>
    <t>Cidade/Local</t>
  </si>
  <si>
    <t>Relevância para a Gerência</t>
  </si>
  <si>
    <t>Participantes Sugeridos</t>
  </si>
  <si>
    <t>14/04/2026</t>
  </si>
  <si>
    <t>DIVERSIBRAM 2026 – Mineração sem Rótulos (5ª edição)</t>
  </si>
  <si>
    <t>IBRAM</t>
  </si>
  <si>
    <t>Belo Horizonte – MG</t>
  </si>
  <si>
    <t>Diversidade e inclusão no setor mineral; inovação e boas práticas para fortalecimento da cadeia produtiva.</t>
  </si>
  <si>
    <t>Baixa a média – evento institucional do IBRAM, foco em diversidade e inclusão. Participação recomendada para visibilidade institucional.</t>
  </si>
  <si>
    <t>Rodrigo Oliveira (Gerente Geral) – representação institucional</t>
  </si>
  <si>
    <t>03 a 05/05/2026</t>
  </si>
  <si>
    <t>II Simpósio de Geometalurgia</t>
  </si>
  <si>
    <t>UFMG / UFRGS</t>
  </si>
  <si>
    <t>Gramado – RS</t>
  </si>
  <si>
    <t>Integração entre Geologia, Mineração e Metalurgia; otimização de projetos e operações minerais com abordagem geometalúrgica.</t>
  </si>
  <si>
    <t>Média – interface com planejamento de lavra e caracterização de materiais. Relevante para quem trabalha com empilhamento e cavas.</t>
  </si>
  <si>
    <t>Farley Fonseca (Coord. Empilhamento)
Frederico (Esp. Cavas e Taludes Industriais)</t>
  </si>
  <si>
    <t>17 a 20/05/2026</t>
  </si>
  <si>
    <t>XII SIMEXMIN – Simpósio Brasileiro de Exploração Mineral</t>
  </si>
  <si>
    <t>ADIMB</t>
  </si>
  <si>
    <t>Ouro Preto – MG</t>
  </si>
  <si>
    <t>Pesquisa mineral, exploração, minerais críticos, transição energética, investimentos e governança do setor mineral.</t>
  </si>
  <si>
    <t>Baixa a média – foco em exploração mineral e geologia econômica, pouca sobreposição direta com geotecnia. Oportunidade de networking.</t>
  </si>
  <si>
    <t>26 e 27/05/2026</t>
  </si>
  <si>
    <t>Tailings Brazil 2026</t>
  </si>
  <si>
    <t>Gestão de estruturas de rejeitos, padrões internacionais (GISTM), práticas operacionais, regulação, prevenção e resposta a emergências.</t>
  </si>
  <si>
    <t>ALTA – diretamente relacionado a barragens de rejeitos, regulatório, segurança geotécnica e gestão de estruturas. Evento-chave para a Gerência.</t>
  </si>
  <si>
    <t>09 e 10/06/2026</t>
  </si>
  <si>
    <t>Seminário Internacional de Minerais Críticos e Estratégicos 2026</t>
  </si>
  <si>
    <t>Brasília – DF</t>
  </si>
  <si>
    <t>Minerais críticos para transição energética, cadeia de suprimentos, políticas públicas e posicionamento estratégico do Brasil.</t>
  </si>
  <si>
    <t>Baixa – foco em política mineral e minerais estratégicos, sem interface direta com geotecnia. Participação opcional para contexto estratégico.</t>
  </si>
  <si>
    <t>Rodrigo Oliveira (Gerente Geral) – opcional, para visão estratégica</t>
  </si>
  <si>
    <t>10 e 11/06/2026</t>
  </si>
  <si>
    <t>Workshop OPEX – Custos Operacionais na Mineração</t>
  </si>
  <si>
    <t>Revista Minérios</t>
  </si>
  <si>
    <t>Redução de custos operacionais, produtividade, eficiência operacional e casos reais de mineradoras em operação.</t>
  </si>
  <si>
    <t>Média – interface com eficiência operacional em empilhamento, cavas e taludes. Evento técnico e prático.</t>
  </si>
  <si>
    <t>24 a 27/08/2026</t>
  </si>
  <si>
    <t>EXPOSIBRAM 2026 – Expo &amp; Congresso Brasileiro de Mineração</t>
  </si>
  <si>
    <t>Belo Horizonte – MG (Expominas)</t>
  </si>
  <si>
    <t>Principal evento do setor mineral da América Latina; inovação, sustentabilidade, políticas públicas, transição energética, tecnologias e negócios.</t>
  </si>
  <si>
    <t>ALTA – maior evento do setor mineral brasileiro. Oportunidade de networking, visibilidade institucional e atualização técnica ampla.</t>
  </si>
  <si>
    <t>Rodrigo Oliveira (Gerente Geral)
Cristina Novais (Ger. Regulatório)
Elton Frankin (Coord. Geotecnia e Hidrogeo)
Gilson de Deus (Coord. Regulatório)
Fernando Reis (Esp. Regulatório)
Farley Fonseca (Coord. Empilhamento)</t>
  </si>
  <si>
    <t>24 a 28/08/2026</t>
  </si>
  <si>
    <t>COBRAMSEG 2026 – XXII Congresso Brasileiro de Mecânica dos Solos e Eng. Geotécnica + LARMS 2026 + CLBG</t>
  </si>
  <si>
    <t>ABMS</t>
  </si>
  <si>
    <t>Brasília – DF (CICB)</t>
  </si>
  <si>
    <t>Geotecnia e mudanças climáticas; barragens, taludes, fundações, IA aplicada, Big Data, hidrogeologia, túneis. Inclui LARMS (mecânica de rochas) e CLBG (congresso luso-brasileiro).</t>
  </si>
  <si>
    <t>ALTA – principal evento técnico-científico de geotecnia do Brasil. Temas diretamente ligados a todas as áreas da Gerência. Evento imperdível.</t>
  </si>
  <si>
    <t>15 e 16/09/2026</t>
  </si>
  <si>
    <t>Congresso Internacional de Direito Minerário 2026</t>
  </si>
  <si>
    <t>Aspectos legais e regulatórios da mineração no Brasil e no mundo; legislação, sustentabilidade e perspectivas do setor.</t>
  </si>
  <si>
    <t>Média a alta – relevante para equipe de regulatório, acompanhamento de legislação e compliance em segurança de barragens e mineração.</t>
  </si>
  <si>
    <t>Cristina Novais (Ger. Regulatório)
Gilson de Deus (Coord. Regulatório)
Fernando Reis (Esp. Regulatório)</t>
  </si>
  <si>
    <t>Outubro/2026 (data a confirmar)</t>
  </si>
  <si>
    <t>Prêmio Boas Práticas na Mineração do Brasil 2026</t>
  </si>
  <si>
    <t>Reconhecimento de iniciativas sustentáveis, inovadoras e socialmente responsáveis; segurança, eficiência energética e desenvolvimento.</t>
  </si>
  <si>
    <t>Média – oportunidade de reconhecimento de boas práticas da Gerência e benchmarking.</t>
  </si>
  <si>
    <t>Rodrigo Oliveira (Gerente Geral)
Cristina Novais (Ger. Regulatório)</t>
  </si>
  <si>
    <t>LEGENDA DE RELEVÂNCIA</t>
  </si>
  <si>
    <t>ALTA</t>
  </si>
  <si>
    <t>Evento diretamente relacionado às atividades da Gerência. Participação prioritária.</t>
  </si>
  <si>
    <t>Média a Alta</t>
  </si>
  <si>
    <t>Evento com interface significativa. Participação recomendada para áreas específicas.</t>
  </si>
  <si>
    <t>Média</t>
  </si>
  <si>
    <t>Evento com interface parcial. Participação seletiva conforme disponibilidade.</t>
  </si>
  <si>
    <t>Baixa a Média</t>
  </si>
  <si>
    <t>Pouca sobreposição direta. Participação opcional para networking ou contexto.</t>
  </si>
  <si>
    <t>COMPOSIÇÃO DA LIDERANÇA DA GERÊNCIA GERAL DE GEOTECNIA E HIDROGEOLOGIA</t>
  </si>
  <si>
    <t>Rodrigo Oliveira</t>
  </si>
  <si>
    <t>Gerente Geral</t>
  </si>
  <si>
    <t>Cristina Novais</t>
  </si>
  <si>
    <t>Gerente de Regulatório e Estudos Geotécnicos</t>
  </si>
  <si>
    <t>Elton Frankin</t>
  </si>
  <si>
    <t>Coordenador de Geotecnia e Hidrogeologia</t>
  </si>
  <si>
    <t>Gilson de Deus</t>
  </si>
  <si>
    <t>Coordenador de Regulatório, Planejamento e Controle</t>
  </si>
  <si>
    <t>Fernando Reis</t>
  </si>
  <si>
    <t>Especialista de Regulatório, Planejamento e Controle</t>
  </si>
  <si>
    <t>Farley Fonseca</t>
  </si>
  <si>
    <t>Coordenador de Empilhamento</t>
  </si>
  <si>
    <t>Mayke Tarantino</t>
  </si>
  <si>
    <t>Especialista de Empilhamento</t>
  </si>
  <si>
    <t>Viviane</t>
  </si>
  <si>
    <t>Thiago</t>
  </si>
  <si>
    <t>Especialista de Barragens</t>
  </si>
  <si>
    <t>Matheus Perri</t>
  </si>
  <si>
    <t>Especialista de Hidrogeologia</t>
  </si>
  <si>
    <t>Frederico</t>
  </si>
  <si>
    <t>Especialista de Cavas e Taludes Industriais</t>
  </si>
  <si>
    <t>Nota: O GeoMin (Geotecnia Aplicada à Mineração) é realizado anualmente em Ouro Preto (NRMG-ABMS / NUGEO-UFOP), geralmente em outubro. A edição 2026 ainda não tem data confirmada, mas é um evento de ALTA relevância para a Gerência. Acompanhar divulgação em geominouropreto.com.br.</t>
  </si>
  <si>
    <t>Nota: O COBRAMSEG 2026 e a EXPOSIBRAM 2026 ocorrem na mesma semana (24-28/ago), porém em cidades diferentes (Brasília e BH). Considerar divisão da equipe entre os dois eventos.</t>
  </si>
  <si>
    <t>Tema/Foco Principal</t>
  </si>
  <si>
    <t>Pilhas IBRAM</t>
  </si>
  <si>
    <t>Rodrigo Elton Hamandda Jaílton (ver com cris quem do time dela vai)</t>
  </si>
  <si>
    <t>Rodrigo Oliveira (Gerente Geral) - Painelista
Cristina Novais (Ger. Regulatório)
Elton Frankin (Coord. Geotecnia e Hidrogeo)
Gilson de Deus (Coord. Regulatório)
Fernando Reis (Esp. Regulatório)
Thiago (Esp. Barragens)
Farley Fonseca (Coord. Empilhamento)
Mayke Tarantino (Esp. Empilhamento)
Frederico Duarte (Cavas e TI)
Verificar com cris lista do time dela</t>
  </si>
  <si>
    <t>Farley Fonseca (Coord. Empilhamento)
Frederico (Esp. Cavas e Taludes Industriais)
Viviane (Esp. Empilhamento)
Mayke (?)</t>
  </si>
  <si>
    <t>Thiago (Esp. Barragens)
Frederico (Esp. Cavas e Taludes Industriais)
Mayke Tarantino (Esp. Empilhamento)
Viviane (Esp. Empilhamento)</t>
  </si>
  <si>
    <t>Damsweek</t>
  </si>
  <si>
    <t>Cristina Novais (Ger. Regulatório)
Thiago (Esp. Barragens)</t>
  </si>
  <si>
    <t>CBDB</t>
  </si>
  <si>
    <t>Belém - PA</t>
  </si>
  <si>
    <t>20 a 26/09/2026</t>
  </si>
  <si>
    <t>Desenvolvimento da engenharia nacional em prol de barragens e estruturas de disposição de rejeitos seguras e ambientalmente sustentáveis</t>
  </si>
  <si>
    <t>Média a alta - relevante para a equipe de barragens</t>
  </si>
  <si>
    <t>Data de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</si>
</sst>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0"/>
      <name val="Arial"/>
    </font>
    <font>
      <i/>
      <sz val="10"/>
      <color rgb="FFC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4C6E7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0" borderId="0" xfId="0" applyFont="1"/>
    <xf numFmtId="0" fontId="0" fillId="10" borderId="0" xfId="0" applyFill="1"/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0" fillId="11" borderId="0" xfId="0" applyFill="1"/>
    <xf numFmtId="14" fontId="0" fillId="11" borderId="0" xfId="0" applyNumberFormat="1" applyFill="1"/>
    <xf numFmtId="0" fontId="7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9"/>
  <sheetViews>
    <sheetView tabSelected="1" zoomScale="70" zoomScaleNormal="70" workbookViewId="0">
      <selection activeCell="E5" sqref="E5"/>
    </sheetView>
  </sheetViews>
  <sheetFormatPr defaultRowHeight="14.4" x14ac:dyDescent="0.3"/>
  <cols>
    <col min="1" max="1" width="14.77734375" customWidth="1"/>
    <col min="2" max="2" width="18" customWidth="1"/>
    <col min="3" max="3" width="35" customWidth="1"/>
    <col min="4" max="5" width="22" customWidth="1"/>
    <col min="6" max="6" width="35" customWidth="1"/>
    <col min="7" max="7" width="55.21875" customWidth="1"/>
    <col min="8" max="8" width="45" customWidth="1"/>
  </cols>
  <sheetData>
    <row r="1" spans="2:8" ht="34.950000000000003" customHeight="1" x14ac:dyDescent="0.3">
      <c r="B1" s="22" t="s">
        <v>0</v>
      </c>
      <c r="C1" s="19"/>
      <c r="D1" s="19"/>
      <c r="E1" s="19"/>
      <c r="F1" s="19"/>
      <c r="G1" s="19"/>
      <c r="H1" s="19"/>
    </row>
    <row r="2" spans="2:8" ht="25.05" customHeight="1" x14ac:dyDescent="0.3">
      <c r="B2" s="23" t="s">
        <v>1</v>
      </c>
      <c r="C2" s="19"/>
      <c r="D2" s="19"/>
      <c r="E2" s="19"/>
      <c r="F2" s="19"/>
      <c r="G2" s="19"/>
      <c r="H2" s="19"/>
    </row>
    <row r="3" spans="2:8" x14ac:dyDescent="0.3">
      <c r="B3" s="16" t="s">
        <v>111</v>
      </c>
      <c r="C3" s="17">
        <f ca="1">TODAY()</f>
        <v>46170</v>
      </c>
    </row>
    <row r="4" spans="2:8" ht="30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98</v>
      </c>
      <c r="G4" s="1" t="s">
        <v>6</v>
      </c>
      <c r="H4" s="1" t="s">
        <v>7</v>
      </c>
    </row>
    <row r="5" spans="2:8" s="12" customFormat="1" ht="90" customHeight="1" x14ac:dyDescent="0.3">
      <c r="B5" s="13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</row>
    <row r="6" spans="2:8" ht="90" customHeight="1" x14ac:dyDescent="0.3">
      <c r="B6" s="15">
        <v>46118</v>
      </c>
      <c r="C6" s="5" t="s">
        <v>99</v>
      </c>
      <c r="D6" s="5"/>
      <c r="E6" s="5"/>
      <c r="F6" s="5"/>
      <c r="G6" s="5"/>
      <c r="H6" s="5" t="s">
        <v>100</v>
      </c>
    </row>
    <row r="7" spans="2:8" ht="90" customHeight="1" x14ac:dyDescent="0.3">
      <c r="B7" s="15" t="s">
        <v>108</v>
      </c>
      <c r="C7" s="5" t="s">
        <v>104</v>
      </c>
      <c r="D7" s="5" t="s">
        <v>106</v>
      </c>
      <c r="E7" s="5" t="s">
        <v>107</v>
      </c>
      <c r="F7" s="5" t="s">
        <v>109</v>
      </c>
      <c r="G7" s="5" t="s">
        <v>110</v>
      </c>
      <c r="H7" s="5" t="s">
        <v>105</v>
      </c>
    </row>
    <row r="8" spans="2:8" s="12" customFormat="1" ht="90" customHeight="1" x14ac:dyDescent="0.3">
      <c r="B8" s="13" t="s">
        <v>15</v>
      </c>
      <c r="C8" s="14" t="s">
        <v>16</v>
      </c>
      <c r="D8" s="14" t="s">
        <v>17</v>
      </c>
      <c r="E8" s="14" t="s">
        <v>18</v>
      </c>
      <c r="F8" s="14" t="s">
        <v>19</v>
      </c>
      <c r="G8" s="14" t="s">
        <v>20</v>
      </c>
      <c r="H8" s="14" t="s">
        <v>21</v>
      </c>
    </row>
    <row r="9" spans="2:8" s="12" customFormat="1" ht="90" customHeight="1" x14ac:dyDescent="0.3">
      <c r="B9" s="13" t="s">
        <v>22</v>
      </c>
      <c r="C9" s="14" t="s">
        <v>23</v>
      </c>
      <c r="D9" s="14" t="s">
        <v>24</v>
      </c>
      <c r="E9" s="14" t="s">
        <v>25</v>
      </c>
      <c r="F9" s="14" t="s">
        <v>26</v>
      </c>
      <c r="G9" s="14" t="s">
        <v>27</v>
      </c>
      <c r="H9" s="14" t="s">
        <v>64</v>
      </c>
    </row>
    <row r="10" spans="2:8" ht="90" customHeight="1" x14ac:dyDescent="0.3">
      <c r="B10" s="4" t="s">
        <v>28</v>
      </c>
      <c r="C10" s="5" t="s">
        <v>29</v>
      </c>
      <c r="D10" s="5" t="s">
        <v>10</v>
      </c>
      <c r="E10" s="5" t="s">
        <v>11</v>
      </c>
      <c r="F10" s="5" t="s">
        <v>30</v>
      </c>
      <c r="G10" s="6" t="s">
        <v>31</v>
      </c>
      <c r="H10" s="5" t="s">
        <v>101</v>
      </c>
    </row>
    <row r="11" spans="2:8" s="12" customFormat="1" ht="90" customHeight="1" x14ac:dyDescent="0.3">
      <c r="B11" s="13" t="s">
        <v>32</v>
      </c>
      <c r="C11" s="14" t="s">
        <v>33</v>
      </c>
      <c r="D11" s="14" t="s">
        <v>10</v>
      </c>
      <c r="E11" s="14" t="s">
        <v>34</v>
      </c>
      <c r="F11" s="14" t="s">
        <v>35</v>
      </c>
      <c r="G11" s="14" t="s">
        <v>36</v>
      </c>
      <c r="H11" s="14" t="s">
        <v>37</v>
      </c>
    </row>
    <row r="12" spans="2:8" ht="90" customHeight="1" x14ac:dyDescent="0.3">
      <c r="B12" s="4" t="s">
        <v>38</v>
      </c>
      <c r="C12" s="5" t="s">
        <v>39</v>
      </c>
      <c r="D12" s="5" t="s">
        <v>40</v>
      </c>
      <c r="E12" s="5" t="s">
        <v>11</v>
      </c>
      <c r="F12" s="5" t="s">
        <v>41</v>
      </c>
      <c r="G12" s="5" t="s">
        <v>42</v>
      </c>
      <c r="H12" s="5" t="s">
        <v>102</v>
      </c>
    </row>
    <row r="13" spans="2:8" ht="90" customHeight="1" x14ac:dyDescent="0.3">
      <c r="B13" s="4" t="s">
        <v>43</v>
      </c>
      <c r="C13" s="5" t="s">
        <v>44</v>
      </c>
      <c r="D13" s="5" t="s">
        <v>10</v>
      </c>
      <c r="E13" s="5" t="s">
        <v>45</v>
      </c>
      <c r="F13" s="5" t="s">
        <v>46</v>
      </c>
      <c r="G13" s="6" t="s">
        <v>47</v>
      </c>
      <c r="H13" s="5" t="s">
        <v>48</v>
      </c>
    </row>
    <row r="14" spans="2:8" ht="90" customHeight="1" x14ac:dyDescent="0.3">
      <c r="B14" s="2" t="s">
        <v>49</v>
      </c>
      <c r="C14" s="3" t="s">
        <v>50</v>
      </c>
      <c r="D14" s="3" t="s">
        <v>51</v>
      </c>
      <c r="E14" s="3" t="s">
        <v>52</v>
      </c>
      <c r="F14" s="3" t="s">
        <v>53</v>
      </c>
      <c r="G14" s="6" t="s">
        <v>54</v>
      </c>
      <c r="H14" s="3" t="s">
        <v>103</v>
      </c>
    </row>
    <row r="15" spans="2:8" ht="90" customHeight="1" x14ac:dyDescent="0.3">
      <c r="B15" s="4" t="s">
        <v>55</v>
      </c>
      <c r="C15" s="5" t="s">
        <v>56</v>
      </c>
      <c r="D15" s="5" t="s">
        <v>10</v>
      </c>
      <c r="E15" s="5" t="s">
        <v>34</v>
      </c>
      <c r="F15" s="5" t="s">
        <v>57</v>
      </c>
      <c r="G15" s="5" t="s">
        <v>58</v>
      </c>
      <c r="H15" s="5" t="s">
        <v>59</v>
      </c>
    </row>
    <row r="16" spans="2:8" ht="90" customHeight="1" x14ac:dyDescent="0.3">
      <c r="B16" s="2" t="s">
        <v>60</v>
      </c>
      <c r="C16" s="3" t="s">
        <v>61</v>
      </c>
      <c r="D16" s="3" t="s">
        <v>10</v>
      </c>
      <c r="E16" s="3" t="s">
        <v>11</v>
      </c>
      <c r="F16" s="3" t="s">
        <v>62</v>
      </c>
      <c r="G16" s="3" t="s">
        <v>63</v>
      </c>
      <c r="H16" s="3" t="s">
        <v>64</v>
      </c>
    </row>
    <row r="19" spans="2:8" x14ac:dyDescent="0.3">
      <c r="B19" s="21" t="s">
        <v>65</v>
      </c>
      <c r="C19" s="19"/>
      <c r="D19" s="19"/>
      <c r="E19" s="19"/>
      <c r="F19" s="19"/>
      <c r="G19" s="19"/>
      <c r="H19" s="19"/>
    </row>
    <row r="20" spans="2:8" x14ac:dyDescent="0.3">
      <c r="B20" s="7" t="s">
        <v>66</v>
      </c>
      <c r="C20" s="20" t="s">
        <v>67</v>
      </c>
      <c r="D20" s="19"/>
      <c r="E20" s="19"/>
      <c r="F20" s="19"/>
      <c r="G20" s="19"/>
      <c r="H20" s="19"/>
    </row>
    <row r="21" spans="2:8" x14ac:dyDescent="0.3">
      <c r="B21" s="8" t="s">
        <v>68</v>
      </c>
      <c r="C21" s="20" t="s">
        <v>69</v>
      </c>
      <c r="D21" s="19"/>
      <c r="E21" s="19"/>
      <c r="F21" s="19"/>
      <c r="G21" s="19"/>
      <c r="H21" s="19"/>
    </row>
    <row r="22" spans="2:8" x14ac:dyDescent="0.3">
      <c r="B22" s="9" t="s">
        <v>70</v>
      </c>
      <c r="C22" s="20" t="s">
        <v>71</v>
      </c>
      <c r="D22" s="19"/>
      <c r="E22" s="19"/>
      <c r="F22" s="19"/>
      <c r="G22" s="19"/>
      <c r="H22" s="19"/>
    </row>
    <row r="23" spans="2:8" x14ac:dyDescent="0.3">
      <c r="B23" s="10" t="s">
        <v>72</v>
      </c>
      <c r="C23" s="20" t="s">
        <v>73</v>
      </c>
      <c r="D23" s="19"/>
      <c r="E23" s="19"/>
      <c r="F23" s="19"/>
      <c r="G23" s="19"/>
      <c r="H23" s="19"/>
    </row>
    <row r="25" spans="2:8" x14ac:dyDescent="0.3">
      <c r="B25" s="21" t="s">
        <v>74</v>
      </c>
      <c r="C25" s="19"/>
      <c r="D25" s="19"/>
      <c r="E25" s="19"/>
      <c r="F25" s="19"/>
      <c r="G25" s="19"/>
      <c r="H25" s="19"/>
    </row>
    <row r="26" spans="2:8" x14ac:dyDescent="0.3">
      <c r="B26" s="11" t="s">
        <v>75</v>
      </c>
      <c r="C26" s="20" t="s">
        <v>76</v>
      </c>
      <c r="D26" s="19"/>
      <c r="E26" s="19"/>
      <c r="F26" s="19"/>
      <c r="G26" s="19"/>
      <c r="H26" s="19"/>
    </row>
    <row r="27" spans="2:8" x14ac:dyDescent="0.3">
      <c r="B27" s="11" t="s">
        <v>77</v>
      </c>
      <c r="C27" s="20" t="s">
        <v>78</v>
      </c>
      <c r="D27" s="19"/>
      <c r="E27" s="19"/>
      <c r="F27" s="19"/>
      <c r="G27" s="19"/>
      <c r="H27" s="19"/>
    </row>
    <row r="28" spans="2:8" x14ac:dyDescent="0.3">
      <c r="B28" s="11" t="s">
        <v>79</v>
      </c>
      <c r="C28" s="20" t="s">
        <v>80</v>
      </c>
      <c r="D28" s="19"/>
      <c r="E28" s="19"/>
      <c r="F28" s="19"/>
      <c r="G28" s="19"/>
      <c r="H28" s="19"/>
    </row>
    <row r="29" spans="2:8" x14ac:dyDescent="0.3">
      <c r="B29" s="11" t="s">
        <v>81</v>
      </c>
      <c r="C29" s="20" t="s">
        <v>82</v>
      </c>
      <c r="D29" s="19"/>
      <c r="E29" s="19"/>
      <c r="F29" s="19"/>
      <c r="G29" s="19"/>
      <c r="H29" s="19"/>
    </row>
    <row r="30" spans="2:8" x14ac:dyDescent="0.3">
      <c r="B30" s="11" t="s">
        <v>83</v>
      </c>
      <c r="C30" s="20" t="s">
        <v>84</v>
      </c>
      <c r="D30" s="19"/>
      <c r="E30" s="19"/>
      <c r="F30" s="19"/>
      <c r="G30" s="19"/>
      <c r="H30" s="19"/>
    </row>
    <row r="31" spans="2:8" x14ac:dyDescent="0.3">
      <c r="B31" s="11" t="s">
        <v>85</v>
      </c>
      <c r="C31" s="20" t="s">
        <v>86</v>
      </c>
      <c r="D31" s="19"/>
      <c r="E31" s="19"/>
      <c r="F31" s="19"/>
      <c r="G31" s="19"/>
      <c r="H31" s="19"/>
    </row>
    <row r="32" spans="2:8" x14ac:dyDescent="0.3">
      <c r="B32" s="11" t="s">
        <v>87</v>
      </c>
      <c r="C32" s="20" t="s">
        <v>88</v>
      </c>
      <c r="D32" s="19"/>
      <c r="E32" s="19"/>
      <c r="F32" s="19"/>
      <c r="G32" s="19"/>
      <c r="H32" s="19"/>
    </row>
    <row r="33" spans="2:8" x14ac:dyDescent="0.3">
      <c r="B33" s="11" t="s">
        <v>89</v>
      </c>
      <c r="C33" s="20" t="s">
        <v>88</v>
      </c>
      <c r="D33" s="19"/>
      <c r="E33" s="19"/>
      <c r="F33" s="19"/>
      <c r="G33" s="19"/>
      <c r="H33" s="19"/>
    </row>
    <row r="34" spans="2:8" x14ac:dyDescent="0.3">
      <c r="B34" s="11" t="s">
        <v>90</v>
      </c>
      <c r="C34" s="20" t="s">
        <v>91</v>
      </c>
      <c r="D34" s="19"/>
      <c r="E34" s="19"/>
      <c r="F34" s="19"/>
      <c r="G34" s="19"/>
      <c r="H34" s="19"/>
    </row>
    <row r="35" spans="2:8" x14ac:dyDescent="0.3">
      <c r="B35" s="11" t="s">
        <v>92</v>
      </c>
      <c r="C35" s="20" t="s">
        <v>93</v>
      </c>
      <c r="D35" s="19"/>
      <c r="E35" s="19"/>
      <c r="F35" s="19"/>
      <c r="G35" s="19"/>
      <c r="H35" s="19"/>
    </row>
    <row r="36" spans="2:8" x14ac:dyDescent="0.3">
      <c r="B36" s="11" t="s">
        <v>94</v>
      </c>
      <c r="C36" s="20" t="s">
        <v>95</v>
      </c>
      <c r="D36" s="19"/>
      <c r="E36" s="19"/>
      <c r="F36" s="19"/>
      <c r="G36" s="19"/>
      <c r="H36" s="19"/>
    </row>
    <row r="38" spans="2:8" ht="34.950000000000003" customHeight="1" x14ac:dyDescent="0.3">
      <c r="B38" s="18" t="s">
        <v>96</v>
      </c>
      <c r="C38" s="19"/>
      <c r="D38" s="19"/>
      <c r="E38" s="19"/>
      <c r="F38" s="19"/>
      <c r="G38" s="19"/>
      <c r="H38" s="19"/>
    </row>
    <row r="39" spans="2:8" ht="30" customHeight="1" x14ac:dyDescent="0.3">
      <c r="B39" s="18" t="s">
        <v>97</v>
      </c>
      <c r="C39" s="19"/>
      <c r="D39" s="19"/>
      <c r="E39" s="19"/>
      <c r="F39" s="19"/>
      <c r="G39" s="19"/>
      <c r="H39" s="19"/>
    </row>
  </sheetData>
  <autoFilter ref="B4:H16" xr:uid="{00000000-0001-0000-0000-000000000000}"/>
  <mergeCells count="21">
    <mergeCell ref="B1:H1"/>
    <mergeCell ref="C33:H33"/>
    <mergeCell ref="C36:H36"/>
    <mergeCell ref="C27:H27"/>
    <mergeCell ref="C26:H26"/>
    <mergeCell ref="B19:H19"/>
    <mergeCell ref="C23:H23"/>
    <mergeCell ref="C32:H32"/>
    <mergeCell ref="C28:H28"/>
    <mergeCell ref="B2:H2"/>
    <mergeCell ref="C22:H22"/>
    <mergeCell ref="B39:H39"/>
    <mergeCell ref="C30:H30"/>
    <mergeCell ref="C20:H20"/>
    <mergeCell ref="C35:H35"/>
    <mergeCell ref="C29:H29"/>
    <mergeCell ref="B25:H25"/>
    <mergeCell ref="C31:H31"/>
    <mergeCell ref="C34:H34"/>
    <mergeCell ref="C21:H21"/>
    <mergeCell ref="B38:H3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E9BD78952D949AD3876755849F106" ma:contentTypeVersion="10" ma:contentTypeDescription="Create a new document." ma:contentTypeScope="" ma:versionID="4aa88d9fe912cafe686c6cbf65837abc">
  <xsd:schema xmlns:xsd="http://www.w3.org/2001/XMLSchema" xmlns:xs="http://www.w3.org/2001/XMLSchema" xmlns:p="http://schemas.microsoft.com/office/2006/metadata/properties" xmlns:ns2="dbba7408-ec95-4851-bc50-df263b655ec0" xmlns:ns3="e6953d52-380c-40a2-8363-431c2cfb0bc0" targetNamespace="http://schemas.microsoft.com/office/2006/metadata/properties" ma:root="true" ma:fieldsID="547b89ab8c350a17ac85302bf0dfa979" ns2:_="" ns3:_="">
    <xsd:import namespace="dbba7408-ec95-4851-bc50-df263b655ec0"/>
    <xsd:import namespace="e6953d52-380c-40a2-8363-431c2cfb0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a7408-ec95-4851-bc50-df263b655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3d52-380c-40a2-8363-431c2cfb0b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9fe71-5ac0-4d74-99a0-4d5517695fe6}" ma:internalName="TaxCatchAll" ma:showField="CatchAllData" ma:web="e6953d52-380c-40a2-8363-431c2cfb0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53d52-380c-40a2-8363-431c2cfb0bc0" xsi:nil="true"/>
    <lcf76f155ced4ddcb4097134ff3c332f xmlns="dbba7408-ec95-4851-bc50-df263b655e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3430E-19D1-4A1B-BBBC-8932A02DD9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5CC99-8F3D-494A-8083-0CDC3FD8ACC5}"/>
</file>

<file path=customXml/itemProps3.xml><?xml version="1.0" encoding="utf-8"?>
<ds:datastoreItem xmlns:ds="http://schemas.openxmlformats.org/officeDocument/2006/customXml" ds:itemID="{13D1E3B8-5F61-4532-8247-DE8D711ACABE}">
  <ds:schemaRefs>
    <ds:schemaRef ds:uri="http://schemas.microsoft.com/office/2006/metadata/properties"/>
    <ds:schemaRef ds:uri="http://schemas.microsoft.com/office/infopath/2007/PartnerControls"/>
    <ds:schemaRef ds:uri="62085a58-89d2-499f-8d94-3bd68bf2bcd0"/>
    <ds:schemaRef ds:uri="afd69eaf-c895-4734-b5c3-ccfe75373e30"/>
    <ds:schemaRef ds:uri="e6953d52-380c-40a2-8363-431c2cfb0bc0"/>
    <ds:schemaRef ds:uri="dbba7408-ec95-4851-bc50-df263b655e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Souza, Bernardo</cp:lastModifiedBy>
  <dcterms:created xsi:type="dcterms:W3CDTF">2026-03-17T13:15:30Z</dcterms:created>
  <dcterms:modified xsi:type="dcterms:W3CDTF">2026-05-28T18:56:13Z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2026-03-30T13:23:18Z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479617ba-9628-4490-98d9-de407207ee6f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0x010100B85E9BD78952D949AD3876755849F106</vt:lpwstr>
  </property>
  <property fmtid="{D5CDD505-2E9C-101B-9397-08002B2CF9AE}" pid="11" name="MediaServiceImageTags">
    <vt:lpwstr/>
  </property>
</Properties>
</file>